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on\Documents\App Development\"/>
    </mc:Choice>
  </mc:AlternateContent>
  <xr:revisionPtr revIDLastSave="0" documentId="13_ncr:1_{72D0FCF8-CC3B-4E75-87EA-3D04B381845F}" xr6:coauthVersionLast="47" xr6:coauthVersionMax="47" xr10:uidLastSave="{00000000-0000-0000-0000-000000000000}"/>
  <bookViews>
    <workbookView xWindow="-108" yWindow="-108" windowWidth="23256" windowHeight="12456" xr2:uid="{20B04D25-0639-445C-A7E7-AF5C8B55A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C4" i="1"/>
  <c r="B4" i="1"/>
</calcChain>
</file>

<file path=xl/sharedStrings.xml><?xml version="1.0" encoding="utf-8"?>
<sst xmlns="http://schemas.openxmlformats.org/spreadsheetml/2006/main" count="7" uniqueCount="7">
  <si>
    <t>Max Excursion</t>
  </si>
  <si>
    <t>Rvol</t>
  </si>
  <si>
    <t>Natural log</t>
  </si>
  <si>
    <t>Square root</t>
  </si>
  <si>
    <t>Original EOD Algo</t>
  </si>
  <si>
    <t>Neural Net</t>
  </si>
  <si>
    <t>Trend 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</si>
</sst>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Natural log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Sheet1!$B$4:$B$23</c:f>
              <c:numCache>
                <c:formatCode>0.0</c:formatCode>
                <c:ptCount val="20"/>
                <c:pt idx="0">
                  <c:v>0.65</c:v>
                </c:pt>
                <c:pt idx="1">
                  <c:v>0.96191623125197534</c:v>
                </c:pt>
                <c:pt idx="2">
                  <c:v>1.1443755299006495</c:v>
                </c:pt>
                <c:pt idx="3">
                  <c:v>1.2738324625039508</c:v>
                </c:pt>
                <c:pt idx="4">
                  <c:v>1.3742470605953452</c:v>
                </c:pt>
                <c:pt idx="5">
                  <c:v>1.4562917611526247</c:v>
                </c:pt>
                <c:pt idx="6">
                  <c:v>1.5256595670748911</c:v>
                </c:pt>
                <c:pt idx="7">
                  <c:v>1.5857486937559262</c:v>
                </c:pt>
                <c:pt idx="8">
                  <c:v>1.6387510598012989</c:v>
                </c:pt>
                <c:pt idx="9">
                  <c:v>1.6861632918473206</c:v>
                </c:pt>
                <c:pt idx="10">
                  <c:v>1.7290528727592669</c:v>
                </c:pt>
                <c:pt idx="11">
                  <c:v>1.7682079924046001</c:v>
                </c:pt>
                <c:pt idx="12">
                  <c:v>1.8042272108576918</c:v>
                </c:pt>
                <c:pt idx="13">
                  <c:v>1.8375757983268661</c:v>
                </c:pt>
                <c:pt idx="14">
                  <c:v>1.8686225904959946</c:v>
                </c:pt>
                <c:pt idx="15">
                  <c:v>1.8976649250079016</c:v>
                </c:pt>
                <c:pt idx="16">
                  <c:v>1.9249460048252973</c:v>
                </c:pt>
                <c:pt idx="17">
                  <c:v>1.9506672910532741</c:v>
                </c:pt>
                <c:pt idx="18">
                  <c:v>1.9749975406248983</c:v>
                </c:pt>
                <c:pt idx="19">
                  <c:v>1.998079523099296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6E-4630-8AFC-117FE42D2FA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Square root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Sheet1!$C$4:$C$23</c:f>
              <c:numCache>
                <c:formatCode>0.0</c:formatCode>
                <c:ptCount val="20"/>
                <c:pt idx="0">
                  <c:v>0.65</c:v>
                </c:pt>
                <c:pt idx="1">
                  <c:v>0.91923881554251186</c:v>
                </c:pt>
                <c:pt idx="2">
                  <c:v>1.1258330249197701</c:v>
                </c:pt>
                <c:pt idx="3">
                  <c:v>1.3</c:v>
                </c:pt>
                <c:pt idx="4">
                  <c:v>1.4534441853748634</c:v>
                </c:pt>
                <c:pt idx="5">
                  <c:v>1.5921683328090657</c:v>
                </c:pt>
                <c:pt idx="6">
                  <c:v>1.719738352191984</c:v>
                </c:pt>
                <c:pt idx="7">
                  <c:v>1.8384776310850237</c:v>
                </c:pt>
                <c:pt idx="8">
                  <c:v>1.9500000000000002</c:v>
                </c:pt>
                <c:pt idx="9">
                  <c:v>2.055480479109447</c:v>
                </c:pt>
                <c:pt idx="10">
                  <c:v>2.1558061137310101</c:v>
                </c:pt>
                <c:pt idx="11">
                  <c:v>2.2516660498395402</c:v>
                </c:pt>
                <c:pt idx="12">
                  <c:v>2.3436083290515932</c:v>
                </c:pt>
                <c:pt idx="13">
                  <c:v>2.4320773014030621</c:v>
                </c:pt>
                <c:pt idx="14">
                  <c:v>2.5174391750348213</c:v>
                </c:pt>
                <c:pt idx="15">
                  <c:v>2.6</c:v>
                </c:pt>
                <c:pt idx="16">
                  <c:v>2.6800186566514794</c:v>
                </c:pt>
                <c:pt idx="17">
                  <c:v>2.7577164466275352</c:v>
                </c:pt>
                <c:pt idx="18">
                  <c:v>2.833284313301438</c:v>
                </c:pt>
                <c:pt idx="19">
                  <c:v>2.9068883707497268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6E-4630-8AFC-117FE42D2FA3}"/>
            </c:ext>
          </c:extLst>
        </c:ser>
        <c:ser>
          <c:idx val="4"/>
          <c:order val="2"/>
          <c:tx>
            <c:strRef>
              <c:f>Sheet1!$D$3</c:f>
              <c:strCache>
                <c:ptCount val="1"/>
                <c:pt idx="0">
                  <c:v>Trend  LSTM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Sheet1!$D$4:$D$23</c:f>
              <c:numCache>
                <c:formatCode>0.00</c:formatCode>
                <c:ptCount val="20"/>
                <c:pt idx="0">
                  <c:v>0.80301594499999995</c:v>
                </c:pt>
                <c:pt idx="1">
                  <c:v>1.3769551199999999</c:v>
                </c:pt>
                <c:pt idx="2">
                  <c:v>1.8884915449999995</c:v>
                </c:pt>
                <c:pt idx="3">
                  <c:v>2.3403819199999996</c:v>
                </c:pt>
                <c:pt idx="4">
                  <c:v>2.735765625</c:v>
                </c:pt>
                <c:pt idx="5">
                  <c:v>3.0781647199999993</c:v>
                </c:pt>
                <c:pt idx="6">
                  <c:v>3.3714839449999991</c:v>
                </c:pt>
                <c:pt idx="7">
                  <c:v>3.6200107199999998</c:v>
                </c:pt>
                <c:pt idx="8">
                  <c:v>3.8284151449999997</c:v>
                </c:pt>
                <c:pt idx="9">
                  <c:v>4.0017500000000004</c:v>
                </c:pt>
                <c:pt idx="10">
                  <c:v>4.1454507449999989</c:v>
                </c:pt>
                <c:pt idx="11">
                  <c:v>4.2653355199999989</c:v>
                </c:pt>
                <c:pt idx="12">
                  <c:v>4.3676051449999997</c:v>
                </c:pt>
                <c:pt idx="13">
                  <c:v>4.4588431199999983</c:v>
                </c:pt>
                <c:pt idx="14">
                  <c:v>4.5460156249999999</c:v>
                </c:pt>
                <c:pt idx="15">
                  <c:v>4.6364715199999997</c:v>
                </c:pt>
                <c:pt idx="16">
                  <c:v>4.7379423449999987</c:v>
                </c:pt>
                <c:pt idx="17">
                  <c:v>4.8585423199999989</c:v>
                </c:pt>
                <c:pt idx="18">
                  <c:v>5.0067683449999985</c:v>
                </c:pt>
                <c:pt idx="19">
                  <c:v>5.1915000000000004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16E-4630-8AFC-117FE42D2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111151"/>
        <c:axId val="660107311"/>
      </c:scatterChart>
      <c:valAx>
        <c:axId val="66011115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07311"/>
        <c:crosses val="autoZero"/>
        <c:crossBetween val="midCat"/>
      </c:valAx>
      <c:valAx>
        <c:axId val="660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Max</a:t>
                </a:r>
                <a:r>
                  <a:rPr lang="en-CA" baseline="0"/>
                  <a:t> Excursion (x*ADR)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1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0</xdr:row>
      <xdr:rowOff>114300</xdr:rowOff>
    </xdr:from>
    <xdr:to>
      <xdr:col>13</xdr:col>
      <xdr:colOff>472440</xdr:colOff>
      <xdr:row>19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3D000F-9A1B-48C7-EF2C-C71478DD1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29FF-78DB-4534-B89B-A86C522624FC}">
  <dimension ref="A1:D23"/>
  <sheetViews>
    <sheetView tabSelected="1" zoomScale="89" workbookViewId="0">
      <selection activeCell="D2" sqref="D1:D1048576"/>
    </sheetView>
  </sheetViews>
  <sheetFormatPr defaultRowHeight="14.4" x14ac:dyDescent="0.3"/>
  <cols>
    <col min="1" max="1" width="18.5546875" customWidth="1"/>
  </cols>
  <sheetData>
    <row r="1" spans="1:4" x14ac:dyDescent="0.3">
      <c r="B1" s="3" t="s">
        <v>0</v>
      </c>
      <c r="C1" s="3"/>
    </row>
    <row r="2" spans="1:4" x14ac:dyDescent="0.3">
      <c r="B2" s="3" t="s">
        <v>4</v>
      </c>
      <c r="C2" s="3"/>
      <c r="D2" t="s">
        <v>5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6</v>
      </c>
    </row>
    <row r="4" spans="1:4" x14ac:dyDescent="0.3">
      <c r="A4" s="2">
        <v>1</v>
      </c>
      <c r="B4" s="4">
        <f>0.65+0.45*LN(A4)</f>
        <v>0.65</v>
      </c>
      <c r="C4" s="4">
        <f>0.65*SQRT(A4)</f>
        <v>0.65</v>
      </c>
      <c r="D4" s="1">
        <f>(0.000015945*A4^4) + (0.0003*A4^3) - (0.0334*A4^2) + (0.6718*A4) + 0.1643</f>
        <v>0.80301594499999995</v>
      </c>
    </row>
    <row r="5" spans="1:4" x14ac:dyDescent="0.3">
      <c r="A5" s="2">
        <v>2</v>
      </c>
      <c r="B5" s="4">
        <f t="shared" ref="B5:B23" si="0">0.65+0.45*LN(A5)</f>
        <v>0.96191623125197534</v>
      </c>
      <c r="C5" s="4">
        <f t="shared" ref="C5:C13" si="1">0.65*SQRT(A5)</f>
        <v>0.91923881554251186</v>
      </c>
      <c r="D5" s="1">
        <f t="shared" ref="D5:D23" si="2">(0.000015945*A5^4) + (0.0003*A5^3) - (0.0334*A5^2) + (0.6718*A5) + 0.1643</f>
        <v>1.3769551199999999</v>
      </c>
    </row>
    <row r="6" spans="1:4" x14ac:dyDescent="0.3">
      <c r="A6" s="2">
        <v>3</v>
      </c>
      <c r="B6" s="4">
        <f t="shared" si="0"/>
        <v>1.1443755299006495</v>
      </c>
      <c r="C6" s="4">
        <f t="shared" si="1"/>
        <v>1.1258330249197701</v>
      </c>
      <c r="D6" s="1">
        <f t="shared" si="2"/>
        <v>1.8884915449999995</v>
      </c>
    </row>
    <row r="7" spans="1:4" x14ac:dyDescent="0.3">
      <c r="A7" s="2">
        <v>4</v>
      </c>
      <c r="B7" s="4">
        <f t="shared" si="0"/>
        <v>1.2738324625039508</v>
      </c>
      <c r="C7" s="4">
        <f t="shared" si="1"/>
        <v>1.3</v>
      </c>
      <c r="D7" s="1">
        <f t="shared" si="2"/>
        <v>2.3403819199999996</v>
      </c>
    </row>
    <row r="8" spans="1:4" x14ac:dyDescent="0.3">
      <c r="A8" s="2">
        <v>5</v>
      </c>
      <c r="B8" s="4">
        <f t="shared" si="0"/>
        <v>1.3742470605953452</v>
      </c>
      <c r="C8" s="4">
        <f t="shared" si="1"/>
        <v>1.4534441853748634</v>
      </c>
      <c r="D8" s="1">
        <f t="shared" si="2"/>
        <v>2.735765625</v>
      </c>
    </row>
    <row r="9" spans="1:4" x14ac:dyDescent="0.3">
      <c r="A9" s="2">
        <v>6</v>
      </c>
      <c r="B9" s="4">
        <f t="shared" si="0"/>
        <v>1.4562917611526247</v>
      </c>
      <c r="C9" s="4">
        <f t="shared" si="1"/>
        <v>1.5921683328090657</v>
      </c>
      <c r="D9" s="1">
        <f t="shared" si="2"/>
        <v>3.0781647199999993</v>
      </c>
    </row>
    <row r="10" spans="1:4" x14ac:dyDescent="0.3">
      <c r="A10" s="2">
        <v>7</v>
      </c>
      <c r="B10" s="4">
        <f t="shared" si="0"/>
        <v>1.5256595670748911</v>
      </c>
      <c r="C10" s="4">
        <f t="shared" si="1"/>
        <v>1.719738352191984</v>
      </c>
      <c r="D10" s="1">
        <f t="shared" si="2"/>
        <v>3.3714839449999991</v>
      </c>
    </row>
    <row r="11" spans="1:4" x14ac:dyDescent="0.3">
      <c r="A11" s="2">
        <v>8</v>
      </c>
      <c r="B11" s="4">
        <f t="shared" si="0"/>
        <v>1.5857486937559262</v>
      </c>
      <c r="C11" s="4">
        <f t="shared" si="1"/>
        <v>1.8384776310850237</v>
      </c>
      <c r="D11" s="1">
        <f t="shared" si="2"/>
        <v>3.6200107199999998</v>
      </c>
    </row>
    <row r="12" spans="1:4" x14ac:dyDescent="0.3">
      <c r="A12" s="2">
        <v>9</v>
      </c>
      <c r="B12" s="4">
        <f t="shared" si="0"/>
        <v>1.6387510598012989</v>
      </c>
      <c r="C12" s="4">
        <f t="shared" si="1"/>
        <v>1.9500000000000002</v>
      </c>
      <c r="D12" s="1">
        <f t="shared" si="2"/>
        <v>3.8284151449999997</v>
      </c>
    </row>
    <row r="13" spans="1:4" x14ac:dyDescent="0.3">
      <c r="A13" s="2">
        <v>10</v>
      </c>
      <c r="B13" s="4">
        <f t="shared" si="0"/>
        <v>1.6861632918473206</v>
      </c>
      <c r="C13" s="4">
        <f t="shared" si="1"/>
        <v>2.055480479109447</v>
      </c>
      <c r="D13" s="1">
        <f t="shared" si="2"/>
        <v>4.0017500000000004</v>
      </c>
    </row>
    <row r="14" spans="1:4" x14ac:dyDescent="0.3">
      <c r="A14" s="2">
        <v>11</v>
      </c>
      <c r="B14" s="4">
        <f t="shared" si="0"/>
        <v>1.7290528727592669</v>
      </c>
      <c r="C14" s="4">
        <f t="shared" ref="C14:C23" si="3">0.65*SQRT(A14)</f>
        <v>2.1558061137310101</v>
      </c>
      <c r="D14" s="1">
        <f t="shared" si="2"/>
        <v>4.1454507449999989</v>
      </c>
    </row>
    <row r="15" spans="1:4" x14ac:dyDescent="0.3">
      <c r="A15" s="2">
        <v>12</v>
      </c>
      <c r="B15" s="4">
        <f t="shared" si="0"/>
        <v>1.7682079924046001</v>
      </c>
      <c r="C15" s="4">
        <f t="shared" si="3"/>
        <v>2.2516660498395402</v>
      </c>
      <c r="D15" s="1">
        <f t="shared" si="2"/>
        <v>4.2653355199999989</v>
      </c>
    </row>
    <row r="16" spans="1:4" x14ac:dyDescent="0.3">
      <c r="A16" s="2">
        <v>13</v>
      </c>
      <c r="B16" s="4">
        <f t="shared" si="0"/>
        <v>1.8042272108576918</v>
      </c>
      <c r="C16" s="4">
        <f t="shared" si="3"/>
        <v>2.3436083290515932</v>
      </c>
      <c r="D16" s="1">
        <f t="shared" si="2"/>
        <v>4.3676051449999997</v>
      </c>
    </row>
    <row r="17" spans="1:4" x14ac:dyDescent="0.3">
      <c r="A17" s="2">
        <v>14</v>
      </c>
      <c r="B17" s="4">
        <f t="shared" si="0"/>
        <v>1.8375757983268661</v>
      </c>
      <c r="C17" s="4">
        <f t="shared" si="3"/>
        <v>2.4320773014030621</v>
      </c>
      <c r="D17" s="1">
        <f t="shared" si="2"/>
        <v>4.4588431199999983</v>
      </c>
    </row>
    <row r="18" spans="1:4" x14ac:dyDescent="0.3">
      <c r="A18" s="2">
        <v>15</v>
      </c>
      <c r="B18" s="4">
        <f t="shared" si="0"/>
        <v>1.8686225904959946</v>
      </c>
      <c r="C18" s="4">
        <f t="shared" si="3"/>
        <v>2.5174391750348213</v>
      </c>
      <c r="D18" s="1">
        <f t="shared" si="2"/>
        <v>4.5460156249999999</v>
      </c>
    </row>
    <row r="19" spans="1:4" x14ac:dyDescent="0.3">
      <c r="A19" s="2">
        <v>16</v>
      </c>
      <c r="B19" s="4">
        <f t="shared" si="0"/>
        <v>1.8976649250079016</v>
      </c>
      <c r="C19" s="4">
        <f t="shared" si="3"/>
        <v>2.6</v>
      </c>
      <c r="D19" s="1">
        <f t="shared" si="2"/>
        <v>4.6364715199999997</v>
      </c>
    </row>
    <row r="20" spans="1:4" x14ac:dyDescent="0.3">
      <c r="A20" s="2">
        <v>17</v>
      </c>
      <c r="B20" s="4">
        <f t="shared" si="0"/>
        <v>1.9249460048252973</v>
      </c>
      <c r="C20" s="4">
        <f t="shared" si="3"/>
        <v>2.6800186566514794</v>
      </c>
      <c r="D20" s="1">
        <f t="shared" si="2"/>
        <v>4.7379423449999987</v>
      </c>
    </row>
    <row r="21" spans="1:4" x14ac:dyDescent="0.3">
      <c r="A21" s="2">
        <v>18</v>
      </c>
      <c r="B21" s="4">
        <f t="shared" si="0"/>
        <v>1.9506672910532741</v>
      </c>
      <c r="C21" s="4">
        <f t="shared" si="3"/>
        <v>2.7577164466275352</v>
      </c>
      <c r="D21" s="1">
        <f t="shared" si="2"/>
        <v>4.8585423199999989</v>
      </c>
    </row>
    <row r="22" spans="1:4" x14ac:dyDescent="0.3">
      <c r="A22" s="2">
        <v>19</v>
      </c>
      <c r="B22" s="4">
        <f t="shared" si="0"/>
        <v>1.9749975406248983</v>
      </c>
      <c r="C22" s="4">
        <f t="shared" si="3"/>
        <v>2.833284313301438</v>
      </c>
      <c r="D22" s="1">
        <f t="shared" si="2"/>
        <v>5.0067683449999985</v>
      </c>
    </row>
    <row r="23" spans="1:4" x14ac:dyDescent="0.3">
      <c r="A23" s="2">
        <v>20</v>
      </c>
      <c r="B23" s="4">
        <f t="shared" si="0"/>
        <v>1.998079523099296</v>
      </c>
      <c r="C23" s="4">
        <f t="shared" si="3"/>
        <v>2.9068883707497268</v>
      </c>
      <c r="D23" s="1">
        <f t="shared" si="2"/>
        <v>5.1915000000000004</v>
      </c>
    </row>
  </sheetData>
  <mergeCells count="2">
    <mergeCell ref="B1:C1"/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Rafiqul Haque</dc:creator>
  <cp:lastModifiedBy>Rafiqul Haque</cp:lastModifiedBy>
  <dcterms:created xsi:type="dcterms:W3CDTF">2026-02-22T07:01:25Z</dcterms:created>
  <dcterms:modified xsi:type="dcterms:W3CDTF">2026-02-22T10:11:10Z</dcterms:modified>
</cp:coreProperties>
</file>